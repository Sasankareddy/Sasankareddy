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an\Downloads\CRANES VARSITY\"/>
    </mc:Choice>
  </mc:AlternateContent>
  <xr:revisionPtr revIDLastSave="0" documentId="13_ncr:1_{DA596D7D-AFDA-413B-8AB1-2FBD4A8F49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H5" i="1"/>
  <c r="G10" i="1"/>
  <c r="G9" i="1"/>
  <c r="G8" i="1"/>
  <c r="G7" i="1"/>
  <c r="G6" i="1"/>
  <c r="G5" i="1"/>
  <c r="H4" i="1"/>
  <c r="G4" i="1"/>
</calcChain>
</file>

<file path=xl/sharedStrings.xml><?xml version="1.0" encoding="utf-8"?>
<sst xmlns="http://schemas.openxmlformats.org/spreadsheetml/2006/main" count="65" uniqueCount="57">
  <si>
    <t>Sl. No.</t>
  </si>
  <si>
    <t>Employee No</t>
  </si>
  <si>
    <t>Name</t>
  </si>
  <si>
    <t>Designation</t>
  </si>
  <si>
    <t>Location</t>
  </si>
  <si>
    <t>MTC-0001</t>
  </si>
  <si>
    <t>MTC-0066</t>
  </si>
  <si>
    <t>MTC-0094</t>
  </si>
  <si>
    <t>MTC-0103</t>
  </si>
  <si>
    <t>MTC-0113</t>
  </si>
  <si>
    <t>MTC-0115</t>
  </si>
  <si>
    <t>MTC-0118</t>
  </si>
  <si>
    <t>MTC-0129</t>
  </si>
  <si>
    <t>MTC-0148</t>
  </si>
  <si>
    <t>MTC-0151</t>
  </si>
  <si>
    <t>MTC-0166</t>
  </si>
  <si>
    <t>MTC-0170</t>
  </si>
  <si>
    <t>MTC-0176</t>
  </si>
  <si>
    <t>MTC-0181</t>
  </si>
  <si>
    <t>MTC-0191</t>
  </si>
  <si>
    <t>Bhanu K Dhar</t>
  </si>
  <si>
    <t>Jayaram K S</t>
  </si>
  <si>
    <t>MOHAMMED</t>
  </si>
  <si>
    <t>Ramesh Devadiga</t>
  </si>
  <si>
    <t>Rajesh G</t>
  </si>
  <si>
    <t>Bhasker N</t>
  </si>
  <si>
    <t>Satheesh Kumar</t>
  </si>
  <si>
    <t>Syed Safiulla</t>
  </si>
  <si>
    <t>Gerald Boother</t>
  </si>
  <si>
    <t>Sunil Deth V R</t>
  </si>
  <si>
    <t>Hardev Singh Chana</t>
  </si>
  <si>
    <t>Mahadeviah T</t>
  </si>
  <si>
    <t>Salikumar T S</t>
  </si>
  <si>
    <t>Usha Sashidharan</t>
  </si>
  <si>
    <t>Jaspreet Singh</t>
  </si>
  <si>
    <t>Chief Executive Officer</t>
  </si>
  <si>
    <t>Joint Assistant General Manager (F&amp;A)</t>
  </si>
  <si>
    <t>Senior Construction Manager</t>
  </si>
  <si>
    <t>Sr Accountant</t>
  </si>
  <si>
    <t>Joint General Manager (Projects)</t>
  </si>
  <si>
    <t>Senior Artist</t>
  </si>
  <si>
    <t>Joint Assistant General Manager (Projects)</t>
  </si>
  <si>
    <t>Project Engineer</t>
  </si>
  <si>
    <t>Senior Executive Human Resource</t>
  </si>
  <si>
    <t>Site Engineer</t>
  </si>
  <si>
    <t>Vice President (QEOHS)</t>
  </si>
  <si>
    <t>Store Keeper</t>
  </si>
  <si>
    <t>Deputy Manager (Contracts)</t>
  </si>
  <si>
    <t>Vice President (HR&amp;A)</t>
  </si>
  <si>
    <t>Senior Quantity Surveyor</t>
  </si>
  <si>
    <t>Bangalore</t>
  </si>
  <si>
    <t>Chennai</t>
  </si>
  <si>
    <t>Manesar</t>
  </si>
  <si>
    <t>Kolkata</t>
  </si>
  <si>
    <t>Delhi</t>
  </si>
  <si>
    <t>Bhubaneshwar</t>
  </si>
  <si>
    <t>Mangalore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</si>
</sst>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1" sqref="H11"/>
    </sheetView>
  </sheetViews>
  <sheetFormatPr defaultRowHeight="14.4" x14ac:dyDescent="0.3"/>
  <cols>
    <col min="2" max="2" width="17.77734375" customWidth="1"/>
    <col min="3" max="3" width="18.5546875" customWidth="1"/>
    <col min="4" max="4" width="36" customWidth="1"/>
    <col min="5" max="5" width="17.6640625" customWidth="1"/>
    <col min="7" max="7" width="12" customWidth="1"/>
    <col min="8" max="8" width="29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">
      <c r="A2">
        <v>1</v>
      </c>
      <c r="B2" t="s">
        <v>5</v>
      </c>
      <c r="C2" t="s">
        <v>20</v>
      </c>
      <c r="D2" t="s">
        <v>35</v>
      </c>
      <c r="E2" t="s">
        <v>50</v>
      </c>
    </row>
    <row r="3" spans="1:8" x14ac:dyDescent="0.3">
      <c r="A3">
        <v>2</v>
      </c>
      <c r="B3" t="s">
        <v>6</v>
      </c>
      <c r="C3" t="s">
        <v>21</v>
      </c>
      <c r="D3" t="s">
        <v>36</v>
      </c>
      <c r="E3" t="s">
        <v>51</v>
      </c>
    </row>
    <row r="4" spans="1:8" x14ac:dyDescent="0.3">
      <c r="A4">
        <v>3</v>
      </c>
      <c r="B4" t="s">
        <v>7</v>
      </c>
      <c r="C4" t="s">
        <v>22</v>
      </c>
      <c r="D4" t="s">
        <v>37</v>
      </c>
      <c r="E4" t="s">
        <v>52</v>
      </c>
      <c r="G4" s="2" t="str">
        <f>B1</f>
        <v>Employee No</v>
      </c>
      <c r="H4" s="2" t="str">
        <f>D1</f>
        <v>Designation</v>
      </c>
    </row>
    <row r="5" spans="1:8" x14ac:dyDescent="0.3">
      <c r="A5">
        <v>4</v>
      </c>
      <c r="B5" t="s">
        <v>8</v>
      </c>
      <c r="C5" t="s">
        <v>23</v>
      </c>
      <c r="D5" t="s">
        <v>38</v>
      </c>
      <c r="E5" t="s">
        <v>50</v>
      </c>
      <c r="G5" t="str">
        <f>B2</f>
        <v>MTC-0001</v>
      </c>
      <c r="H5" t="str">
        <f>VLOOKUP(G5,B1:D16,3,FALSE)</f>
        <v>Chief Executive Officer</v>
      </c>
    </row>
    <row r="6" spans="1:8" x14ac:dyDescent="0.3">
      <c r="A6">
        <v>5</v>
      </c>
      <c r="B6" t="s">
        <v>9</v>
      </c>
      <c r="C6" t="s">
        <v>24</v>
      </c>
      <c r="D6" t="s">
        <v>39</v>
      </c>
      <c r="E6" t="s">
        <v>50</v>
      </c>
      <c r="G6" t="str">
        <f>B6</f>
        <v>MTC-0113</v>
      </c>
      <c r="H6" t="str">
        <f>VLOOKUP(G6,B1:D16,3,FALSE)</f>
        <v>Joint General Manager (Projects)</v>
      </c>
    </row>
    <row r="7" spans="1:8" x14ac:dyDescent="0.3">
      <c r="A7">
        <v>6</v>
      </c>
      <c r="B7" t="s">
        <v>10</v>
      </c>
      <c r="C7" t="s">
        <v>25</v>
      </c>
      <c r="D7" t="s">
        <v>40</v>
      </c>
      <c r="E7" t="s">
        <v>53</v>
      </c>
      <c r="G7" t="str">
        <f>B8</f>
        <v>MTC-0118</v>
      </c>
      <c r="H7" t="str">
        <f>VLOOKUP(G7,B1:D16,3,FALSE)</f>
        <v>Joint Assistant General Manager (Projects)</v>
      </c>
    </row>
    <row r="8" spans="1:8" x14ac:dyDescent="0.3">
      <c r="A8">
        <v>7</v>
      </c>
      <c r="B8" t="s">
        <v>11</v>
      </c>
      <c r="C8" t="s">
        <v>26</v>
      </c>
      <c r="D8" t="s">
        <v>41</v>
      </c>
      <c r="E8" t="s">
        <v>54</v>
      </c>
      <c r="G8" t="str">
        <f>B10</f>
        <v>MTC-0148</v>
      </c>
      <c r="H8" t="str">
        <f>VLOOKUP(G8,B1:D16,3,FALSE)</f>
        <v>Senior Executive Human Resource</v>
      </c>
    </row>
    <row r="9" spans="1:8" x14ac:dyDescent="0.3">
      <c r="A9">
        <v>8</v>
      </c>
      <c r="B9" t="s">
        <v>12</v>
      </c>
      <c r="C9" t="s">
        <v>27</v>
      </c>
      <c r="D9" t="s">
        <v>42</v>
      </c>
      <c r="E9" t="s">
        <v>50</v>
      </c>
      <c r="G9" t="str">
        <f>B13</f>
        <v>MTC-0170</v>
      </c>
      <c r="H9" t="str">
        <f>VLOOKUP(G9,B1:D16,3,FALSE)</f>
        <v>Store Keeper</v>
      </c>
    </row>
    <row r="10" spans="1:8" x14ac:dyDescent="0.3">
      <c r="A10">
        <v>9</v>
      </c>
      <c r="B10" t="s">
        <v>13</v>
      </c>
      <c r="C10" t="s">
        <v>28</v>
      </c>
      <c r="D10" t="s">
        <v>43</v>
      </c>
      <c r="E10" t="s">
        <v>55</v>
      </c>
      <c r="G10" t="str">
        <f>B14</f>
        <v>MTC-0176</v>
      </c>
      <c r="H10" t="str">
        <f>VLOOKUP(G10,B2:D16,3,FALSE)</f>
        <v>Deputy Manager (Contracts)</v>
      </c>
    </row>
    <row r="11" spans="1:8" x14ac:dyDescent="0.3">
      <c r="A11">
        <v>10</v>
      </c>
      <c r="B11" t="s">
        <v>14</v>
      </c>
      <c r="C11" t="s">
        <v>29</v>
      </c>
      <c r="D11" t="s">
        <v>44</v>
      </c>
      <c r="E11" t="s">
        <v>50</v>
      </c>
    </row>
    <row r="12" spans="1:8" x14ac:dyDescent="0.3">
      <c r="A12">
        <v>11</v>
      </c>
      <c r="B12" t="s">
        <v>15</v>
      </c>
      <c r="C12" t="s">
        <v>30</v>
      </c>
      <c r="D12" t="s">
        <v>45</v>
      </c>
      <c r="E12" t="s">
        <v>50</v>
      </c>
    </row>
    <row r="13" spans="1:8" x14ac:dyDescent="0.3">
      <c r="A13">
        <v>12</v>
      </c>
      <c r="B13" t="s">
        <v>16</v>
      </c>
      <c r="C13" t="s">
        <v>31</v>
      </c>
      <c r="D13" t="s">
        <v>46</v>
      </c>
      <c r="E13" t="s">
        <v>56</v>
      </c>
    </row>
    <row r="14" spans="1:8" x14ac:dyDescent="0.3">
      <c r="A14">
        <v>13</v>
      </c>
      <c r="B14" t="s">
        <v>17</v>
      </c>
      <c r="C14" t="s">
        <v>32</v>
      </c>
      <c r="D14" t="s">
        <v>47</v>
      </c>
      <c r="E14" t="s">
        <v>50</v>
      </c>
    </row>
    <row r="15" spans="1:8" x14ac:dyDescent="0.3">
      <c r="A15">
        <v>14</v>
      </c>
      <c r="B15" t="s">
        <v>18</v>
      </c>
      <c r="C15" t="s">
        <v>33</v>
      </c>
      <c r="D15" t="s">
        <v>48</v>
      </c>
      <c r="E15" t="s">
        <v>50</v>
      </c>
    </row>
    <row r="16" spans="1:8" x14ac:dyDescent="0.3">
      <c r="A16">
        <v>15</v>
      </c>
      <c r="B16" t="s">
        <v>19</v>
      </c>
      <c r="C16" t="s">
        <v>34</v>
      </c>
      <c r="D16" t="s">
        <v>49</v>
      </c>
      <c r="E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sasankareddy Kethireddy</dc:creator>
  <cp:lastModifiedBy>sasankareddy Kethireddy</cp:lastModifiedBy>
  <dcterms:created xsi:type="dcterms:W3CDTF">2025-08-13T09:37:42Z</dcterms:created>
  <dcterms:modified xsi:type="dcterms:W3CDTF">2025-08-13T09:54:08Z</dcterms:modified>
</cp:coreProperties>
</file>